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60" activeTab="1"/>
  </bookViews>
  <sheets>
    <sheet name="ВБ КОНКУРЕНТЫ" sheetId="1" r:id="rId1"/>
    <sheet name="ВАРИАНТЫ ЗАКУПОК" sheetId="2" r:id="rId2"/>
    <sheet name="ЦЕН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<sst xmlns="http://schemas.openxmlformats.org/spreadsheetml/2006/main" count="155" uniqueCount="129">
  <si>
    <t>№</t>
  </si>
  <si>
    <t>Товар</t>
  </si>
  <si>
    <t>Brand/Generic</t>
  </si>
  <si>
    <t>Закупка, ₽/шт</t>
  </si>
  <si>
    <t>Кол-во</t>
  </si>
  <si>
    <t>Продажа, ₽/шт</t>
  </si>
  <si>
    <t>Остаток ₽/шт.</t>
  </si>
  <si>
    <t>Ссылка</t>
  </si>
  <si>
    <t>FBS 16.5%</t>
  </si>
  <si>
    <t>Риски</t>
  </si>
  <si>
    <t>Сушилка</t>
  </si>
  <si>
    <t>china</t>
  </si>
  <si>
    <t>https://www.wildberries.ru/catalog/299432612/detail.aspx</t>
  </si>
  <si>
    <t>Часы</t>
  </si>
  <si>
    <t>РФ</t>
  </si>
  <si>
    <t>https://www.wildberries.ru/catalog/153359326/detail.aspx</t>
  </si>
  <si>
    <t>Вакуумные пакеты для одежды и вещей с электрическим насосом</t>
  </si>
  <si>
    <t>сложно</t>
  </si>
  <si>
    <t>https://www.wildberries.ru/catalog/176655561/detail.aspx</t>
  </si>
  <si>
    <t xml:space="preserve">Плед на диван </t>
  </si>
  <si>
    <t>430 максимум</t>
  </si>
  <si>
    <t>https://www.wildberries.ru/catalog/85308126/detail.aspx</t>
  </si>
  <si>
    <t>Коврики для лестницы на ступеньки 5 шт</t>
  </si>
  <si>
    <t>450 комплект</t>
  </si>
  <si>
    <t>https://www.wildberries.ru/catalog/224231091/detail.aspx</t>
  </si>
  <si>
    <t>Корзина для белья в ванную</t>
  </si>
  <si>
    <t>673 максимум</t>
  </si>
  <si>
    <t>https://www.wildberries.ru/catalog/177347167/detail.aspx</t>
  </si>
  <si>
    <t>Органайзер в багажник автомобиля</t>
  </si>
  <si>
    <t>https://www.wildberries.ru/catalog/238196736/detail.aspx</t>
  </si>
  <si>
    <t>чехлы в машину универсальные комплект</t>
  </si>
  <si>
    <t>https://www.wildberries.ru/catalog/188298622/detail.aspx</t>
  </si>
  <si>
    <t xml:space="preserve">Маршал Ключница настенная </t>
  </si>
  <si>
    <t>https://www.ozon.ru/product/marshal-klyuchnitsa-nastennaya-s-4-kryuch-1-sht-1026377684/?at=OgtEDr0vVIKLzBjzuqVOyKXcAXA9ZZCw5g9l4I6GJrAr</t>
  </si>
  <si>
    <t>Отпариватель для одежды ручной FELFRI</t>
  </si>
  <si>
    <t>https://www.ozon.ru/product/otparivatel-dlya-odezhdy-ruchnoy-felfri-2124218527/?__rr=1&amp;abt_att=1&amp;at=28t0Lo0J3tB44DwMTmjj1NYCVLQ04OtJZO3jBCxojPRo</t>
  </si>
  <si>
    <t>Весы напольные электронные</t>
  </si>
  <si>
    <t>https://www.ozon.ru/product/vesy-napolnye-elektronnye-1760287738/?at=J8tgkLgmwhpKwlONI0YO5g5UQyKEZAfxWK02AILgqmVl&amp;reviewsVariantMode=2</t>
  </si>
  <si>
    <t>ведро мусорное 15 литров</t>
  </si>
  <si>
    <t>https://www.ozon.ru/product/musornoe-vedro-dlya-kuhni-tualeta-ofisa-s-kryshkoy-12-litrov-seroe-839284207/?reviewsVariantMode=1</t>
  </si>
  <si>
    <t>наматрасники</t>
  </si>
  <si>
    <t>https://www.ozon.ru/product/namatrasnik-140h200-na-rezinke-534592069/?at=EqtkwAkVRhPENrXVimMBK1jfy6zOEMInq7JDksoYmlrJ&amp;from_sku=534600062&amp;oos_search=false</t>
  </si>
  <si>
    <t>дозатор для мыла,3000заказов за 2 месяца</t>
  </si>
  <si>
    <t>https://www.ozon.ru/product/dozator-dlya-moyushchego-sredstva-i-myla-na-kuhnyu-sensornyy-2074784847/?at=36tWj8W6LhDRk4LNt4Ap5Gvt04JKlATEwk24ns9AWG3J&amp;from_sku=2074822746&amp;oos_search=false</t>
  </si>
  <si>
    <t>насос для велосипеда</t>
  </si>
  <si>
    <t>https://www.ozon.ru/product/nasos-velosipednyy-dlya-myachey-dlya-vatrushki-tyubinga-besprovodnoy-1599168231/?at=gpt4vg4OViVnD3GECkjkWzRTN0q0wxS0gyJ1ninxrjRN&amp;sort=score_desc&amp;tab=reviews</t>
  </si>
  <si>
    <t xml:space="preserve"> Электрощетка для уборки с насадками для дома</t>
  </si>
  <si>
    <t>https://www.ozon.ru/product/elektroshchetka-dlya-uborki-s-nasadkami-dlya-doma-besprovodnaya-7-v-1-1706460735/?at=qQtJg4JKmc5A9X7ofOkJ8rYfl8Q9m5U4y66wJIvJnqAg</t>
  </si>
  <si>
    <t>помпа для воды</t>
  </si>
  <si>
    <t>https://www.ozon.ru/product/pompa-dlya-vody-elektricheskaya-nastolnaya-s-podstavkoy-besshumnaya-rabota-akkumulyator-1800-mah-1099425654/?at=x6tPpwK0ycYyNqD2HJ7rrABTAW5VWoiA2ML22cQx5P6w</t>
  </si>
  <si>
    <t>швабра для полов</t>
  </si>
  <si>
    <t>https://www.ozon.ru/product/shvabra-s-otzhimom-i-vedrom-dlya-mytya-polov-komplekt-dlya-uborki-puro-mini-6-litrov-1621147205/?at=PjtJBGAMvcRm5lByTAJD2pwClj7ARrt5lpy7xsWMJ4A5</t>
  </si>
  <si>
    <t>рулон салфеток</t>
  </si>
  <si>
    <t>Пылесос для дома вертикальный проводной</t>
  </si>
  <si>
    <t>https://www.ozon.ru/product/salfetki-dlya-uborki-tryapki-dlya-kuhni-iz-mikrofibry-v-rulone-50-shtuk-1856448242/?at=oZt6A45JlfBBN0P1HYDL9jxfnJEYpwsPKQqxkcJ6oA1z&amp;from_sku=1757206263&amp;oos_search=false</t>
  </si>
  <si>
    <t>швабра с распылителем</t>
  </si>
  <si>
    <t>https://www.ozon.ru/product/pylesos-dlya-doma-vertikalnyy-provodnoy-deerma-dx118c-belyy-s-konteynerom-moshchnyy-ruchnoy-s-643547019/?at=GRt2rgoAxfy2k592s6AMLqXIkgyV3OtKzOQ7quAPpyLR</t>
  </si>
  <si>
    <t>видеорегистратор</t>
  </si>
  <si>
    <t>https://www.ozon.ru/product/ldas-shvabra-ldas-dlina-120-sm-1882870979/?reviewsVariantMode=1</t>
  </si>
  <si>
    <t>https://www.ozon.ru/product/videoregistrator-avtomobilnyy-s-kameroy-zadnego-vida-registrator-v-mashinu-3-kamery-vr8-3-2035100324/?at=GRt2rgvJ0u0wPy4LT8nJX4QS2ZY6A8TnAn20rHMLlZA</t>
  </si>
  <si>
    <t>тв приставка</t>
  </si>
  <si>
    <t>https://www.ozon.ru/product/smart-tv-pristavka-dlya-televizora-wi-fi-x96q-2-16-gb-android-10-4k-mediapleer-dlya-tsifrovogo-tv-1171636632/?at=79tnrv25NIxY611lfVBOGlgHl6AjnjU0yY9W6HPA7n1L</t>
  </si>
  <si>
    <t xml:space="preserve">сканер штрихкодов </t>
  </si>
  <si>
    <t>https://www.ozon.ru/product/besprovodnoy-2d-skaner-shtrihkoda-dlya-markirovki-egais-chestnyy-znak-atol-merkuriy-idealen-dlya-pvz-887289430/?at=gpt4vrKXys7rMrzPskwWr79TjAK2vRIzEOKg7i2B3Jv4</t>
  </si>
  <si>
    <t>термопринтер</t>
  </si>
  <si>
    <t>https://www.ozon.ru/product/chiteng-printer-dlya-nakleek-etiketok-termo-ct221b-black-chernyy-1657224961/?at=46tRZyEN5UXABkD6sPwBEoofY65L3Rf9Wj3BATx1vQjj</t>
  </si>
  <si>
    <t>Вес, Г.</t>
  </si>
  <si>
    <t>Таможенный сбор, ₽/шт</t>
  </si>
  <si>
    <t>Cargo, ₽</t>
  </si>
  <si>
    <t>Итоговая стоимость, ₽</t>
  </si>
  <si>
    <t>Продажа, ₽/шт.</t>
  </si>
  <si>
    <t>Комиссия WB</t>
  </si>
  <si>
    <t>Доставка WB, ₽</t>
  </si>
  <si>
    <t>Остаток, ₽</t>
  </si>
  <si>
    <t>Прибыль, ₽</t>
  </si>
  <si>
    <t>https://detail.1688.com/offer/771903447937.html?spm=a360q.7751291.0.0.57e929a8QydTO6&amp;sk=common</t>
  </si>
  <si>
    <t>https://detail.1688.com/offer/586304704732.html?spm=a360q.7751291.0.0.57e929a8Xjdql5&amp;sk=common</t>
  </si>
  <si>
    <t>https://detail.1688.com/offer/890888614640.html?spm=a360q.7751291.0.0.57e929a8iuQIdU&amp;sk=common</t>
  </si>
  <si>
    <t>Плед на диван</t>
  </si>
  <si>
    <t>1комплект (5шт)</t>
  </si>
  <si>
    <t>https://detail.1688.com/offer/725405750215.html?spm=a26352.13672862.offerlist.111.5b741e627JTWxY&amp;cosite=-&amp;tracelog=p4p&amp;_p_isad=1&amp;clickid=4b48d266edc447728df0f06c8afc7781&amp;sessionid=831c767d16857575eddc2cf1c49ebc74</t>
  </si>
  <si>
    <t>https://detail.1688.com/offer/889914754133.html?spm=a360q.7751291.0.0.283629a8swJINc&amp;sk=common</t>
  </si>
  <si>
    <t>https://detail.1688.com/offer/670053552388.html?spm=a26352.b28411319.offerlist.7.2fea1e62ZES8GN</t>
  </si>
  <si>
    <t>Чехлы в машину универсальные комплект</t>
  </si>
  <si>
    <t>1комплект (9шт)</t>
  </si>
  <si>
    <t>https://detail.1688.com/offer/716242272724.html?spm=a26352.b28411319.offerlist.6.49021e625dmvvK</t>
  </si>
  <si>
    <t>https://detail.1688.com/offer/649052287021.html?spm=a26352.b28411319.offerlist.7.39a31e62fm1oR9</t>
  </si>
  <si>
    <t>https://detail.1688.com/offer/730996590435.html?fromkv=cbuPcPlugin:imageSearchDrawerCard&amp;spm=a2639h.30124514.offerlist.i1&amp;source=action%23offerItem%3Borigin%23www.ozon.ru&amp;amug_biz=oneself&amp;amug_fl_src=awakeId_982</t>
  </si>
  <si>
    <t xml:space="preserve">проектор </t>
  </si>
  <si>
    <t>https://detail.1688.com/offer/884990585058.html?fromkv=cbuPcPlugin:imageSearchDrawerCard&amp;spm=a2639h.30124514.offerlist.i0&amp;source=action%23offerItem%3Borigin%23www.ozon.ru&amp;amug_biz=oneself&amp;amug_fl_src=awakeId_982</t>
  </si>
  <si>
    <t>https://detail.1688.com/offer/863698227274.html?spm=0.0.wp_pc_common_header_topoffer_undefined.0</t>
  </si>
  <si>
    <t>https://detail.1688.com/offer/908663675694.html?fromkv=cbuPcPlugin:imageSearchDrawerCard&amp;spm=a2639h.30124514.offerlist.i2&amp;source=action%23offerItem%3Borigin%23www.ozon.ru&amp;amug_biz=oneself&amp;amug_fl_src=awakeId_982</t>
  </si>
  <si>
    <t>наматрасник</t>
  </si>
  <si>
    <t>насос беспроводной</t>
  </si>
  <si>
    <t>https://detail.1688.com/offer/768081299101.html?fromkv=cbuPcPlugin:imageSearchDrawerCard&amp;spm=a2639h.30124514.offerlist.i0&amp;source=action%23offerItem%3Borigin%23www.ozon.ru&amp;amug_biz=oneself&amp;amug_fl_src=awakeId_982</t>
  </si>
  <si>
    <t>https://detail.1688.com/offer/830943515961.html?fromkv=cbuPcPlugin:imageSearchDrawerCard&amp;spm=a2639h.30124514.offerlist.i0&amp;source=action%23offerItem%3Borigin%23www.ozon.ru&amp;amug_biz=oneself&amp;amug_fl_src=awakeId_982</t>
  </si>
  <si>
    <t>Видеоняня беспроводная, камера видеонаблюдения </t>
  </si>
  <si>
    <t>помпа для воды электро</t>
  </si>
  <si>
    <t xml:space="preserve">швабра для мыьтя полов </t>
  </si>
  <si>
    <t>https://detail.1688.com/offer/913562204611.html?fromkv=cbuPcPlugin:imageSearchDrawerCard&amp;spm=a2639h.30124514.offerlist.i2&amp;source=action%23offerItem%3Borigin%23www.ozon.ru&amp;amug_biz=oneself&amp;amug_fl_src=awakeId_982</t>
  </si>
  <si>
    <t>полки в ванную</t>
  </si>
  <si>
    <t>https://www.ozon.ru/product/polka-dlya-vannoy-komnaty-uglovaya-samokleyushchayasya-bez-sverleniya-podvesnoy-organayzer-s-1132197119/?at=PjtJBl9qvcm0W2nJiPDz9v9cWqYKgwhyy77KGUOkxY73&amp;tab=reviews</t>
  </si>
  <si>
    <t>салфетка</t>
  </si>
  <si>
    <t>https://detail.1688.com/offer/781123799610.html?fromkv=cbuPcPlugin:imageSearchDrawerCard&amp;spm=a2639h.30124514.offerlist.i0&amp;source=action%23offerItem%3Borigin%23www.ozon.ru&amp;amug_biz=oneself&amp;amug_fl_src=awakeId_982</t>
  </si>
  <si>
    <t>Вакуумные пакеты для одежды и вещей с ручным насосом</t>
  </si>
  <si>
    <t>https://cart.1688.com/cart.htm?spm=a261y.7663282.topmenu.dcart</t>
  </si>
  <si>
    <t>https://detail.1688.com/offer/919563704362.html?fromkv=cbuPcPlugin:imageSearchDrawerCard&amp;spm=a2639h.30124514.offerlist.i1&amp;source=action%23offerItem%3Borigin%23www.ozon.ru&amp;amug_biz=oneself&amp;amug_fl_src=awakeId_982</t>
  </si>
  <si>
    <t>лампы led H7 в авто</t>
  </si>
  <si>
    <t>https://detail.1688.com/offer/867778824672.html?spm=a360q.7751291.0.0.57e929a8XJFbZx&amp;sk=common</t>
  </si>
  <si>
    <t xml:space="preserve">ручной пылесос в авто </t>
  </si>
  <si>
    <t>https://detail.1688.com/offer/713264249353.html?spm=a360q.7751291.0.0.57e929a8XJFbZx&amp;sk=common</t>
  </si>
  <si>
    <t>швабра для мыьтя полов с распылителем</t>
  </si>
  <si>
    <t>https://detail.1688.com/offer/843508414276.html?fromkv=cbuPcPlugin:imageSearchDrawerCard&amp;spm=a2639h.29135425.offerlist.i0&amp;source=action%23offerItem%3Borigin%23www.ozon.ru&amp;amug_biz=oneself&amp;amug_fl_src=awakeId_982&amp;ltk=aByjh5gWj6TqWI4cCvw==</t>
  </si>
  <si>
    <t>видеорегистратор+камера заднего вида</t>
  </si>
  <si>
    <t>https://detail.1688.com/offer/684188689313.html?fromkv=cbuPcPlugin:imageSearchDrawerCard&amp;spm=a2639h.29135425.offerlist.i4&amp;source=action%23offerItem%3Borigin%23www.ozon.ru&amp;amug_biz=oneself&amp;amug_fl_src=awakeId_982</t>
  </si>
  <si>
    <t xml:space="preserve">тв приставка </t>
  </si>
  <si>
    <t>https://detail.1688.com/offer/615713281454.html?fromkv=cbuPcPlugin:imageSearchDrawerCard&amp;spm=a2639h.29135425.offerlist.i1&amp;source=action%23offerItem%3Borigin%23www.ozon.ru&amp;amug_biz=oneself&amp;amug_fl_src=awakeId_982</t>
  </si>
  <si>
    <t>https://detail.1688.com/offer/730586425356.html?fromkv=cbuPcPlugin:imageSearchDrawerCard&amp;spm=a2639h.29135425.offerlist.i0&amp;source=action%23offerItem%3Borigin%23www.ozon.ru&amp;amug_biz=oneself&amp;amug_fl_src=awakeId_982</t>
  </si>
  <si>
    <t>https://detail.1688.com/offer/717590974534.html?fromkv=cbuPcPlugin:imageSearchDrawerCard&amp;spm=a2639h.29135425.offerlist.i1&amp;source=action%23offerItem%3Borigin%23www.ozon.ru&amp;amug_biz=oneself&amp;amug_fl_src=awakeId_982</t>
  </si>
  <si>
    <t>стекло заднего вида+ регистратор+камера заднего вида</t>
  </si>
  <si>
    <t>https://detail.1688.com/offer/778630764761.html?fromkv=cbuPcPlugin:imageSearchDrawerCard&amp;spm=a2639h.29135425.offerlist.i0&amp;source=action%23offerItem%3Borigin%23www.ozon.ru&amp;amug_biz=oneself&amp;amug_fl_src=awakeId_982</t>
  </si>
  <si>
    <t>лед лента 3000К (китай)</t>
  </si>
  <si>
    <t>Вес (кг)</t>
  </si>
  <si>
    <t>Объём (л)</t>
  </si>
  <si>
    <t>Базовая ставка (₽)</t>
  </si>
  <si>
    <t>Доп. объём (л)</t>
  </si>
  <si>
    <t>Надбавка (₽)</t>
  </si>
  <si>
    <t>Итог без коэф. (₽)</t>
  </si>
  <si>
    <t>Итог с коэф. 1.2 (₽)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</si>
</sst>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2"/>
      <color rgb="FF222222"/>
      <name val="Calibri"/>
      <charset val="134"/>
    </font>
    <font>
      <sz val="12"/>
      <color rgb="FF242424"/>
      <name val="Calibri"/>
      <charset val="134"/>
    </font>
    <font>
      <sz val="12"/>
      <color rgb="FF070707"/>
      <name val="Calibri"/>
      <charset val="134"/>
    </font>
    <font>
      <sz val="12"/>
      <color rgb="FF070707"/>
      <name val="Arial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b/>
      <sz val="12"/>
      <color rgb="FF07070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0" borderId="0">
      <protection locked="0"/>
    </xf>
    <xf numFmtId="0" fontId="11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6" applyAlignment="1" applyProtection="1"/>
    <xf numFmtId="0" fontId="8" fillId="0" borderId="0" xfId="6" applyFont="1" applyAlignment="1" applyProtection="1"/>
    <xf numFmtId="0" fontId="8" fillId="0" borderId="0" xfId="6" applyFont="1">
      <protection locked="0"/>
    </xf>
    <xf numFmtId="0" fontId="9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wildberries.ru/catalog/188298622/detail.aspx" TargetMode="External"/><Relationship Id="rId4" Type="http://schemas.openxmlformats.org/officeDocument/2006/relationships/hyperlink" Target="https://www.wildberries.ru/catalog/177347167/detail.aspx" TargetMode="External"/><Relationship Id="rId3" Type="http://schemas.openxmlformats.org/officeDocument/2006/relationships/hyperlink" Target="https://www.wildberries.ru/catalog/224231091/detail.aspx" TargetMode="External"/><Relationship Id="rId2" Type="http://schemas.openxmlformats.org/officeDocument/2006/relationships/hyperlink" Target="https://www.wildberries.ru/catalog/176655561/detail.aspx" TargetMode="External"/><Relationship Id="rId1" Type="http://schemas.openxmlformats.org/officeDocument/2006/relationships/hyperlink" Target="https://www.wildberries.ru/catalog/299432612/detail.aspx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1688.com/offer/684188689313.html?fromkv=cbuPcPlugin:imageSearchDrawerCard&amp;spm=a2639h.29135425.offerlist.i4&amp;source=action%23offerItem%3Borigin%23www.ozon.ru&amp;amug_biz=oneself&amp;amug_fl_src=awakeId_982" TargetMode="External"/><Relationship Id="rId8" Type="http://schemas.openxmlformats.org/officeDocument/2006/relationships/hyperlink" Target="https://detail.1688.com/offer/730586425356.html?fromkv=cbuPcPlugin:imageSearchDrawerCard&amp;spm=a2639h.29135425.offerlist.i0&amp;source=action%23offerItem%3Borigin%23www.ozon.ru&amp;amug_biz=oneself&amp;amug_fl_src=awakeId_982" TargetMode="External"/><Relationship Id="rId7" Type="http://schemas.openxmlformats.org/officeDocument/2006/relationships/hyperlink" Target="https://detail.1688.com/offer/717590974534.html?fromkv=cbuPcPlugin:imageSearchDrawerCard&amp;spm=a2639h.29135425.offerlist.i1&amp;source=action%23offerItem%3Borigin%23www.ozon.ru&amp;amug_biz=oneself&amp;amug_fl_src=awakeId_982" TargetMode="External"/><Relationship Id="rId6" Type="http://schemas.openxmlformats.org/officeDocument/2006/relationships/hyperlink" Target="https://detail.1688.com/offer/884990585058.html?fromkv=cbuPcPlugin:imageSearchDrawerCard&amp;spm=a2639h.30124514.offerlist.i0&amp;source=action%23offerItem;origin%23www.ozon.ru&amp;amug_biz=oneself&amp;amug_fl_src=awakeId_982" TargetMode="External"/><Relationship Id="rId5" Type="http://schemas.openxmlformats.org/officeDocument/2006/relationships/hyperlink" Target="https://detail.1688.com/offer/890888614640.html?spm=a360q.7751291.0.0.57e929a8iuQIdU&amp;sk=common" TargetMode="External"/><Relationship Id="rId4" Type="http://schemas.openxmlformats.org/officeDocument/2006/relationships/hyperlink" Target="https://detail.1688.com/offer/725405750215.html?spm=a26352.13672862.offerlist.111.5b741e627JTWxY&amp;cosite=-&amp;tracelog=p4p&amp;_p_isad=1&amp;clickid=4b48d266edc447728df0f06c8afc7781&amp;sessionid=831c767d16857575eddc2cf1c49ebc74" TargetMode="External"/><Relationship Id="rId3" Type="http://schemas.openxmlformats.org/officeDocument/2006/relationships/hyperlink" Target="https://www.wildberries.ru/catalog/85308126/detail.aspx" TargetMode="External"/><Relationship Id="rId2" Type="http://schemas.openxmlformats.org/officeDocument/2006/relationships/hyperlink" Target="https://detail.1688.com/offer/586304704732.html?spm=a360q.7751291.0.0.57e929a8Xjdql5&amp;sk=common" TargetMode="External"/><Relationship Id="rId1" Type="http://schemas.openxmlformats.org/officeDocument/2006/relationships/hyperlink" Target="https://detail.1688.com/offer/771903447937.html?spm=a360q.7751291.0.0.57e929a8QydTO6&amp;sk=comm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66" zoomScaleNormal="66" workbookViewId="0">
      <selection activeCell="J28" sqref="J28"/>
    </sheetView>
  </sheetViews>
  <sheetFormatPr defaultColWidth="9" defaultRowHeight="16.8"/>
  <cols>
    <col min="2" max="2" width="37.7578125" customWidth="1"/>
    <col min="3" max="3" width="34.8984375" customWidth="1"/>
    <col min="4" max="4" width="12.1015625" customWidth="1"/>
    <col min="5" max="5" width="9.375" customWidth="1"/>
    <col min="6" max="6" width="16.7890625" hidden="1" customWidth="1"/>
    <col min="7" max="7" width="14.703125" customWidth="1"/>
    <col min="8" max="8" width="13.671875" hidden="1" customWidth="1"/>
    <col min="9" max="9" width="16.921875" customWidth="1"/>
    <col min="10" max="10" width="51.5625" customWidth="1"/>
    <col min="11" max="11" width="93.75" customWidth="1"/>
    <col min="12" max="12" width="72.265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</row>
    <row r="2" ht="18" spans="1:10">
      <c r="A2">
        <v>1</v>
      </c>
      <c r="B2" s="4" t="s">
        <v>10</v>
      </c>
      <c r="C2" t="s">
        <v>11</v>
      </c>
      <c r="D2">
        <v>358</v>
      </c>
      <c r="E2">
        <v>1</v>
      </c>
      <c r="G2">
        <v>1200</v>
      </c>
      <c r="I2">
        <v>716</v>
      </c>
      <c r="J2" s="10" t="s">
        <v>12</v>
      </c>
    </row>
    <row r="3" spans="1:10">
      <c r="A3">
        <v>2</v>
      </c>
      <c r="B3" t="s">
        <v>13</v>
      </c>
      <c r="C3" t="s">
        <v>14</v>
      </c>
      <c r="D3">
        <v>360</v>
      </c>
      <c r="E3">
        <v>1</v>
      </c>
      <c r="G3">
        <v>920</v>
      </c>
      <c r="I3">
        <v>722.6</v>
      </c>
      <c r="J3" t="s">
        <v>15</v>
      </c>
    </row>
    <row r="4" ht="36" spans="1:10">
      <c r="A4">
        <v>3</v>
      </c>
      <c r="B4" s="5" t="s">
        <v>16</v>
      </c>
      <c r="C4" t="s">
        <v>11</v>
      </c>
      <c r="D4" t="s">
        <v>17</v>
      </c>
      <c r="E4">
        <v>1</v>
      </c>
      <c r="G4">
        <v>1500</v>
      </c>
      <c r="I4">
        <v>1200</v>
      </c>
      <c r="J4" s="10" t="s">
        <v>18</v>
      </c>
    </row>
    <row r="5" spans="1:10">
      <c r="A5">
        <v>4</v>
      </c>
      <c r="B5" t="s">
        <v>19</v>
      </c>
      <c r="C5" t="s">
        <v>14</v>
      </c>
      <c r="D5" t="s">
        <v>20</v>
      </c>
      <c r="E5">
        <v>1</v>
      </c>
      <c r="G5">
        <v>930</v>
      </c>
      <c r="I5">
        <v>438</v>
      </c>
      <c r="J5" t="s">
        <v>21</v>
      </c>
    </row>
    <row r="6" ht="17.6" spans="1:10">
      <c r="A6">
        <v>5</v>
      </c>
      <c r="B6" s="6" t="s">
        <v>22</v>
      </c>
      <c r="C6" t="s">
        <v>11</v>
      </c>
      <c r="D6" t="s">
        <v>23</v>
      </c>
      <c r="E6">
        <v>1</v>
      </c>
      <c r="G6">
        <v>1140</v>
      </c>
      <c r="I6">
        <v>453</v>
      </c>
      <c r="J6" s="10" t="s">
        <v>24</v>
      </c>
    </row>
    <row r="7" ht="18" spans="1:10">
      <c r="A7">
        <v>6</v>
      </c>
      <c r="B7" s="5" t="s">
        <v>25</v>
      </c>
      <c r="C7" t="s">
        <v>14</v>
      </c>
      <c r="D7" t="s">
        <v>26</v>
      </c>
      <c r="E7">
        <v>1</v>
      </c>
      <c r="G7">
        <v>1666</v>
      </c>
      <c r="I7">
        <v>650</v>
      </c>
      <c r="J7" s="10" t="s">
        <v>27</v>
      </c>
    </row>
    <row r="8" ht="18" spans="1:10">
      <c r="A8">
        <v>7</v>
      </c>
      <c r="B8" s="5" t="s">
        <v>28</v>
      </c>
      <c r="J8" t="s">
        <v>29</v>
      </c>
    </row>
    <row r="9" spans="1:10">
      <c r="A9">
        <v>8</v>
      </c>
      <c r="B9" t="s">
        <v>30</v>
      </c>
      <c r="G9">
        <v>2200</v>
      </c>
      <c r="J9" s="9" t="s">
        <v>31</v>
      </c>
    </row>
    <row r="10" spans="1:10">
      <c r="A10">
        <v>9</v>
      </c>
      <c r="B10" t="s">
        <v>32</v>
      </c>
      <c r="G10">
        <v>750</v>
      </c>
      <c r="J10" t="s">
        <v>33</v>
      </c>
    </row>
    <row r="11" ht="36" spans="1:10">
      <c r="A11">
        <v>10</v>
      </c>
      <c r="B11" s="12" t="s">
        <v>34</v>
      </c>
      <c r="G11">
        <v>1800</v>
      </c>
      <c r="J11" t="s">
        <v>35</v>
      </c>
    </row>
    <row r="12" spans="1:10">
      <c r="A12">
        <v>11</v>
      </c>
      <c r="B12" t="s">
        <v>36</v>
      </c>
      <c r="G12">
        <v>904</v>
      </c>
      <c r="J12" t="s">
        <v>37</v>
      </c>
    </row>
    <row r="13" spans="1:10">
      <c r="A13">
        <v>12</v>
      </c>
      <c r="B13" t="s">
        <v>38</v>
      </c>
      <c r="G13">
        <v>1050</v>
      </c>
      <c r="J13" t="s">
        <v>39</v>
      </c>
    </row>
    <row r="14" spans="1:10">
      <c r="A14">
        <v>13</v>
      </c>
      <c r="B14" t="s">
        <v>40</v>
      </c>
      <c r="G14">
        <v>1250</v>
      </c>
      <c r="J14" t="s">
        <v>41</v>
      </c>
    </row>
    <row r="15" spans="1:10">
      <c r="A15">
        <v>14</v>
      </c>
      <c r="B15" t="s">
        <v>42</v>
      </c>
      <c r="G15">
        <v>800</v>
      </c>
      <c r="J15" t="s">
        <v>43</v>
      </c>
    </row>
    <row r="16" spans="1:10">
      <c r="A16">
        <v>15</v>
      </c>
      <c r="B16" t="s">
        <v>44</v>
      </c>
      <c r="G16">
        <v>1600</v>
      </c>
      <c r="J16" t="s">
        <v>45</v>
      </c>
    </row>
    <row r="17" spans="1:10">
      <c r="A17">
        <v>16</v>
      </c>
      <c r="B17" t="s">
        <v>46</v>
      </c>
      <c r="G17">
        <v>1700</v>
      </c>
      <c r="J17" t="s">
        <v>47</v>
      </c>
    </row>
    <row r="18" spans="1:10">
      <c r="A18">
        <v>17</v>
      </c>
      <c r="B18" t="s">
        <v>48</v>
      </c>
      <c r="G18">
        <v>1500</v>
      </c>
      <c r="J18" t="s">
        <v>49</v>
      </c>
    </row>
    <row r="19" spans="1:10">
      <c r="A19">
        <v>18</v>
      </c>
      <c r="B19" t="s">
        <v>50</v>
      </c>
      <c r="G19">
        <v>2150</v>
      </c>
      <c r="J19" t="s">
        <v>51</v>
      </c>
    </row>
    <row r="20" spans="1:2">
      <c r="A20">
        <v>19</v>
      </c>
      <c r="B20" t="s">
        <v>52</v>
      </c>
    </row>
    <row r="21" spans="1:10">
      <c r="A21">
        <v>20</v>
      </c>
      <c r="B21" t="s">
        <v>53</v>
      </c>
      <c r="G21">
        <v>832</v>
      </c>
      <c r="J21" t="s">
        <v>54</v>
      </c>
    </row>
    <row r="22" spans="1:10">
      <c r="A22">
        <v>21</v>
      </c>
      <c r="B22" t="s">
        <v>55</v>
      </c>
      <c r="G22">
        <v>2644</v>
      </c>
      <c r="J22" t="s">
        <v>56</v>
      </c>
    </row>
    <row r="23" spans="1:10">
      <c r="A23">
        <v>22</v>
      </c>
      <c r="B23" t="s">
        <v>57</v>
      </c>
      <c r="G23">
        <v>1246</v>
      </c>
      <c r="J23" t="s">
        <v>58</v>
      </c>
    </row>
    <row r="24" spans="1:10">
      <c r="A24">
        <v>23</v>
      </c>
      <c r="G24">
        <v>2843</v>
      </c>
      <c r="J24" t="s">
        <v>59</v>
      </c>
    </row>
    <row r="25" spans="1:1">
      <c r="A25">
        <v>24</v>
      </c>
    </row>
    <row r="26" spans="1:10">
      <c r="A26">
        <v>25</v>
      </c>
      <c r="B26" t="s">
        <v>60</v>
      </c>
      <c r="G26">
        <v>1875</v>
      </c>
      <c r="J26" t="s">
        <v>61</v>
      </c>
    </row>
    <row r="27" spans="1:10">
      <c r="A27">
        <v>26</v>
      </c>
      <c r="B27" t="s">
        <v>62</v>
      </c>
      <c r="G27">
        <v>2898</v>
      </c>
      <c r="J27" t="s">
        <v>63</v>
      </c>
    </row>
    <row r="28" spans="1:10">
      <c r="A28">
        <v>27</v>
      </c>
      <c r="B28" t="s">
        <v>64</v>
      </c>
      <c r="G28">
        <v>2734</v>
      </c>
      <c r="J28" t="s">
        <v>65</v>
      </c>
    </row>
    <row r="29" spans="1:1">
      <c r="A29">
        <v>28</v>
      </c>
    </row>
    <row r="30" spans="1:1">
      <c r="A30">
        <v>29</v>
      </c>
    </row>
  </sheetData>
  <hyperlinks>
    <hyperlink ref="J2" r:id="rId1" display="https://www.wildberries.ru/catalog/299432612/detail.aspx"/>
    <hyperlink ref="J4" r:id="rId2" display="https://www.wildberries.ru/catalog/176655561/detail.aspx"/>
    <hyperlink ref="J6" r:id="rId3" display="https://www.wildberries.ru/catalog/224231091/detail.aspx"/>
    <hyperlink ref="J7" r:id="rId4" display="https://www.wildberries.ru/catalog/177347167/detail.aspx"/>
    <hyperlink ref="J9" r:id="rId5" display="https://www.wildberries.ru/catalog/188298622/detail.aspx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zoomScale="48" zoomScaleNormal="48" workbookViewId="0">
      <selection activeCell="A1" sqref="A1:M2"/>
    </sheetView>
  </sheetViews>
  <sheetFormatPr defaultColWidth="9" defaultRowHeight="16.8"/>
  <cols>
    <col min="2" max="2" width="38.5390625" customWidth="1"/>
    <col min="3" max="3" width="34.8984375" customWidth="1"/>
    <col min="4" max="4" width="12.1015625" customWidth="1"/>
    <col min="5" max="5" width="14.4453125" customWidth="1"/>
    <col min="6" max="6" width="21.75" customWidth="1"/>
    <col min="7" max="7" width="15.4921875" customWidth="1"/>
    <col min="8" max="8" width="22.65625" customWidth="1"/>
    <col min="9" max="9" width="16.5390625" customWidth="1"/>
    <col min="10" max="10" width="21.7421875" customWidth="1"/>
    <col min="11" max="11" width="16.6640625" customWidth="1"/>
    <col min="12" max="13" width="15.4921875" customWidth="1"/>
    <col min="14" max="14" width="114.3203125" customWidth="1"/>
  </cols>
  <sheetData>
    <row r="1" spans="1:14">
      <c r="A1" s="3" t="s">
        <v>0</v>
      </c>
      <c r="B1" s="3" t="s">
        <v>1</v>
      </c>
      <c r="C1" s="3" t="s">
        <v>66</v>
      </c>
      <c r="D1" s="3" t="s">
        <v>3</v>
      </c>
      <c r="E1" s="3" t="s">
        <v>4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t="s">
        <v>7</v>
      </c>
    </row>
    <row r="2" ht="18" spans="1:14">
      <c r="A2">
        <v>1</v>
      </c>
      <c r="B2" s="4" t="s">
        <v>10</v>
      </c>
      <c r="C2">
        <v>500</v>
      </c>
      <c r="D2">
        <v>334</v>
      </c>
      <c r="E2">
        <v>1</v>
      </c>
      <c r="F2">
        <v>104</v>
      </c>
      <c r="G2">
        <v>45</v>
      </c>
      <c r="H2">
        <f>D2*E2+F2+G2</f>
        <v>483</v>
      </c>
      <c r="I2">
        <v>1200</v>
      </c>
      <c r="J2">
        <f t="shared" ref="J2:J28" si="0">I2*0.36</f>
        <v>432</v>
      </c>
      <c r="K2">
        <v>45</v>
      </c>
      <c r="L2">
        <f>I2-J2-K2</f>
        <v>723</v>
      </c>
      <c r="M2">
        <f t="shared" ref="M2:M28" si="1">L2-H2</f>
        <v>240</v>
      </c>
      <c r="N2" s="9" t="s">
        <v>75</v>
      </c>
    </row>
    <row r="3" spans="1:14">
      <c r="A3">
        <v>2</v>
      </c>
      <c r="B3" t="s">
        <v>13</v>
      </c>
      <c r="C3">
        <v>1000</v>
      </c>
      <c r="D3">
        <v>182</v>
      </c>
      <c r="E3">
        <v>1</v>
      </c>
      <c r="F3">
        <v>56</v>
      </c>
      <c r="G3">
        <v>90</v>
      </c>
      <c r="H3">
        <f t="shared" ref="H3:H9" si="2">D3*E3+F3+G3</f>
        <v>328</v>
      </c>
      <c r="I3">
        <v>920</v>
      </c>
      <c r="J3">
        <f t="shared" si="0"/>
        <v>331.2</v>
      </c>
      <c r="K3">
        <v>45</v>
      </c>
      <c r="L3">
        <f>I3-J3-K3</f>
        <v>543.8</v>
      </c>
      <c r="M3">
        <f t="shared" si="1"/>
        <v>215.8</v>
      </c>
      <c r="N3" s="10" t="s">
        <v>76</v>
      </c>
    </row>
    <row r="4" ht="36" spans="1:14">
      <c r="A4">
        <v>3</v>
      </c>
      <c r="B4" s="5" t="s">
        <v>16</v>
      </c>
      <c r="C4">
        <v>1000</v>
      </c>
      <c r="D4">
        <v>114</v>
      </c>
      <c r="E4">
        <v>1</v>
      </c>
      <c r="F4">
        <v>36</v>
      </c>
      <c r="G4">
        <v>90</v>
      </c>
      <c r="H4">
        <f t="shared" si="2"/>
        <v>240</v>
      </c>
      <c r="I4">
        <v>1475</v>
      </c>
      <c r="J4">
        <f t="shared" si="0"/>
        <v>531</v>
      </c>
      <c r="K4">
        <v>45</v>
      </c>
      <c r="L4">
        <f t="shared" ref="L4:L28" si="3">I4-J4-K4</f>
        <v>899</v>
      </c>
      <c r="M4">
        <f t="shared" si="1"/>
        <v>659</v>
      </c>
      <c r="N4" s="10" t="s">
        <v>77</v>
      </c>
    </row>
    <row r="5" spans="1:14">
      <c r="A5">
        <v>4</v>
      </c>
      <c r="B5" t="s">
        <v>78</v>
      </c>
      <c r="C5">
        <v>800</v>
      </c>
      <c r="D5">
        <v>335</v>
      </c>
      <c r="E5">
        <v>1</v>
      </c>
      <c r="F5">
        <v>138</v>
      </c>
      <c r="G5">
        <v>90</v>
      </c>
      <c r="H5">
        <f t="shared" si="2"/>
        <v>563</v>
      </c>
      <c r="I5">
        <v>930</v>
      </c>
      <c r="J5">
        <f t="shared" si="0"/>
        <v>334.8</v>
      </c>
      <c r="K5">
        <v>45</v>
      </c>
      <c r="L5">
        <f t="shared" si="3"/>
        <v>550.2</v>
      </c>
      <c r="M5">
        <f t="shared" si="1"/>
        <v>-12.8</v>
      </c>
      <c r="N5" s="10" t="s">
        <v>21</v>
      </c>
    </row>
    <row r="6" ht="17.6" spans="1:14">
      <c r="A6">
        <v>5</v>
      </c>
      <c r="B6" s="6" t="s">
        <v>22</v>
      </c>
      <c r="C6">
        <v>520</v>
      </c>
      <c r="D6">
        <v>141</v>
      </c>
      <c r="E6" t="s">
        <v>79</v>
      </c>
      <c r="F6">
        <v>60</v>
      </c>
      <c r="G6">
        <v>90</v>
      </c>
      <c r="H6">
        <f>D6+F6+G6</f>
        <v>291</v>
      </c>
      <c r="I6">
        <v>1140</v>
      </c>
      <c r="J6">
        <f t="shared" si="0"/>
        <v>410.4</v>
      </c>
      <c r="K6">
        <v>45</v>
      </c>
      <c r="L6">
        <f t="shared" si="3"/>
        <v>684.6</v>
      </c>
      <c r="M6">
        <f t="shared" si="1"/>
        <v>393.6</v>
      </c>
      <c r="N6" s="10" t="s">
        <v>80</v>
      </c>
    </row>
    <row r="7" ht="18" spans="1:14">
      <c r="A7">
        <v>6</v>
      </c>
      <c r="B7" s="5" t="s">
        <v>25</v>
      </c>
      <c r="C7">
        <v>1000</v>
      </c>
      <c r="D7">
        <v>367</v>
      </c>
      <c r="E7">
        <v>1</v>
      </c>
      <c r="F7">
        <v>103</v>
      </c>
      <c r="G7">
        <v>90</v>
      </c>
      <c r="H7">
        <f t="shared" si="2"/>
        <v>560</v>
      </c>
      <c r="I7">
        <v>1650</v>
      </c>
      <c r="J7">
        <f t="shared" si="0"/>
        <v>594</v>
      </c>
      <c r="K7">
        <v>45</v>
      </c>
      <c r="L7">
        <f t="shared" si="3"/>
        <v>1011</v>
      </c>
      <c r="M7">
        <f t="shared" si="1"/>
        <v>451</v>
      </c>
      <c r="N7" t="s">
        <v>81</v>
      </c>
    </row>
    <row r="8" ht="18" spans="1:14">
      <c r="A8">
        <v>7</v>
      </c>
      <c r="B8" s="5" t="s">
        <v>28</v>
      </c>
      <c r="C8">
        <v>1200</v>
      </c>
      <c r="D8">
        <v>292</v>
      </c>
      <c r="E8">
        <v>1</v>
      </c>
      <c r="F8">
        <v>113</v>
      </c>
      <c r="G8">
        <v>100</v>
      </c>
      <c r="H8">
        <f t="shared" si="2"/>
        <v>505</v>
      </c>
      <c r="I8">
        <v>1100</v>
      </c>
      <c r="J8">
        <f t="shared" si="0"/>
        <v>396</v>
      </c>
      <c r="K8">
        <v>45</v>
      </c>
      <c r="L8">
        <f t="shared" si="3"/>
        <v>659</v>
      </c>
      <c r="M8">
        <f t="shared" si="1"/>
        <v>154</v>
      </c>
      <c r="N8" t="s">
        <v>82</v>
      </c>
    </row>
    <row r="9" ht="18" spans="1:14">
      <c r="A9">
        <v>8</v>
      </c>
      <c r="B9" s="5" t="s">
        <v>83</v>
      </c>
      <c r="C9">
        <v>1200</v>
      </c>
      <c r="D9">
        <v>712</v>
      </c>
      <c r="E9" t="s">
        <v>84</v>
      </c>
      <c r="F9">
        <v>226</v>
      </c>
      <c r="G9">
        <v>100</v>
      </c>
      <c r="H9">
        <f t="shared" ref="H9:H28" si="4">D9+F9+G9</f>
        <v>1038</v>
      </c>
      <c r="I9">
        <v>2100</v>
      </c>
      <c r="J9">
        <f t="shared" si="0"/>
        <v>756</v>
      </c>
      <c r="K9">
        <v>45</v>
      </c>
      <c r="L9">
        <f t="shared" si="3"/>
        <v>1299</v>
      </c>
      <c r="M9">
        <f t="shared" si="1"/>
        <v>261</v>
      </c>
      <c r="N9" t="s">
        <v>85</v>
      </c>
    </row>
    <row r="10" spans="1:14">
      <c r="A10">
        <v>9</v>
      </c>
      <c r="B10" t="s">
        <v>32</v>
      </c>
      <c r="C10">
        <v>400</v>
      </c>
      <c r="D10">
        <v>242</v>
      </c>
      <c r="E10">
        <v>1</v>
      </c>
      <c r="F10">
        <v>72</v>
      </c>
      <c r="G10">
        <v>45</v>
      </c>
      <c r="H10">
        <f t="shared" si="4"/>
        <v>359</v>
      </c>
      <c r="I10">
        <v>750</v>
      </c>
      <c r="J10">
        <f t="shared" si="0"/>
        <v>270</v>
      </c>
      <c r="K10">
        <v>45</v>
      </c>
      <c r="L10">
        <f t="shared" si="3"/>
        <v>435</v>
      </c>
      <c r="M10">
        <f t="shared" si="1"/>
        <v>76</v>
      </c>
      <c r="N10" t="s">
        <v>86</v>
      </c>
    </row>
    <row r="11" ht="18" spans="1:14">
      <c r="A11">
        <v>10</v>
      </c>
      <c r="B11" s="7" t="s">
        <v>34</v>
      </c>
      <c r="C11">
        <v>500</v>
      </c>
      <c r="D11">
        <v>417</v>
      </c>
      <c r="E11">
        <v>1</v>
      </c>
      <c r="F11">
        <v>78</v>
      </c>
      <c r="G11">
        <v>45</v>
      </c>
      <c r="H11">
        <f t="shared" si="4"/>
        <v>540</v>
      </c>
      <c r="I11">
        <v>1750</v>
      </c>
      <c r="J11">
        <f t="shared" si="0"/>
        <v>630</v>
      </c>
      <c r="K11">
        <v>45</v>
      </c>
      <c r="L11">
        <f t="shared" si="3"/>
        <v>1075</v>
      </c>
      <c r="M11">
        <f t="shared" si="1"/>
        <v>535</v>
      </c>
      <c r="N11" t="s">
        <v>87</v>
      </c>
    </row>
    <row r="12" spans="1:14">
      <c r="A12">
        <v>11</v>
      </c>
      <c r="B12" t="s">
        <v>88</v>
      </c>
      <c r="C12">
        <v>500</v>
      </c>
      <c r="D12">
        <v>659</v>
      </c>
      <c r="E12">
        <v>1</v>
      </c>
      <c r="F12">
        <v>195</v>
      </c>
      <c r="G12">
        <v>45</v>
      </c>
      <c r="H12">
        <f t="shared" si="4"/>
        <v>899</v>
      </c>
      <c r="I12">
        <v>1700</v>
      </c>
      <c r="J12">
        <f t="shared" si="0"/>
        <v>612</v>
      </c>
      <c r="K12">
        <v>45</v>
      </c>
      <c r="L12">
        <f t="shared" si="3"/>
        <v>1043</v>
      </c>
      <c r="M12">
        <f t="shared" si="1"/>
        <v>144</v>
      </c>
      <c r="N12" s="9" t="s">
        <v>89</v>
      </c>
    </row>
    <row r="13" spans="1:14">
      <c r="A13">
        <v>12</v>
      </c>
      <c r="B13" t="s">
        <v>36</v>
      </c>
      <c r="C13">
        <v>360</v>
      </c>
      <c r="D13">
        <v>165</v>
      </c>
      <c r="E13">
        <v>1</v>
      </c>
      <c r="F13">
        <v>48</v>
      </c>
      <c r="G13">
        <v>45</v>
      </c>
      <c r="H13">
        <f t="shared" si="4"/>
        <v>258</v>
      </c>
      <c r="I13">
        <v>900</v>
      </c>
      <c r="J13">
        <f t="shared" si="0"/>
        <v>324</v>
      </c>
      <c r="K13">
        <v>45</v>
      </c>
      <c r="L13">
        <f t="shared" si="3"/>
        <v>531</v>
      </c>
      <c r="M13">
        <f t="shared" si="1"/>
        <v>273</v>
      </c>
      <c r="N13" t="s">
        <v>90</v>
      </c>
    </row>
    <row r="14" spans="1:14">
      <c r="A14">
        <v>13</v>
      </c>
      <c r="B14" t="s">
        <v>38</v>
      </c>
      <c r="C14">
        <v>800</v>
      </c>
      <c r="D14">
        <v>133</v>
      </c>
      <c r="E14">
        <v>1</v>
      </c>
      <c r="F14">
        <v>31</v>
      </c>
      <c r="G14">
        <v>90</v>
      </c>
      <c r="H14">
        <f t="shared" si="4"/>
        <v>254</v>
      </c>
      <c r="I14">
        <v>1000</v>
      </c>
      <c r="J14">
        <f t="shared" si="0"/>
        <v>360</v>
      </c>
      <c r="K14">
        <v>45</v>
      </c>
      <c r="L14">
        <f t="shared" si="3"/>
        <v>595</v>
      </c>
      <c r="M14">
        <f t="shared" si="1"/>
        <v>341</v>
      </c>
      <c r="N14" t="s">
        <v>91</v>
      </c>
    </row>
    <row r="15" spans="1:13">
      <c r="A15">
        <v>14</v>
      </c>
      <c r="B15" t="s">
        <v>92</v>
      </c>
      <c r="H15">
        <f t="shared" si="4"/>
        <v>0</v>
      </c>
      <c r="J15">
        <f t="shared" si="0"/>
        <v>0</v>
      </c>
      <c r="L15">
        <f t="shared" si="3"/>
        <v>0</v>
      </c>
      <c r="M15">
        <f t="shared" si="1"/>
        <v>0</v>
      </c>
    </row>
    <row r="16" spans="1:14">
      <c r="A16">
        <v>15</v>
      </c>
      <c r="B16" t="s">
        <v>93</v>
      </c>
      <c r="C16">
        <v>700</v>
      </c>
      <c r="D16">
        <v>368</v>
      </c>
      <c r="E16">
        <v>1</v>
      </c>
      <c r="F16">
        <v>77</v>
      </c>
      <c r="G16">
        <v>90</v>
      </c>
      <c r="H16">
        <f t="shared" si="4"/>
        <v>535</v>
      </c>
      <c r="I16">
        <v>1550</v>
      </c>
      <c r="J16">
        <f t="shared" si="0"/>
        <v>558</v>
      </c>
      <c r="K16">
        <v>45</v>
      </c>
      <c r="L16">
        <f t="shared" si="3"/>
        <v>947</v>
      </c>
      <c r="M16">
        <f t="shared" si="1"/>
        <v>412</v>
      </c>
      <c r="N16" t="s">
        <v>94</v>
      </c>
    </row>
    <row r="17" spans="1:14">
      <c r="A17">
        <v>16</v>
      </c>
      <c r="B17" t="s">
        <v>46</v>
      </c>
      <c r="C17">
        <v>1300</v>
      </c>
      <c r="D17">
        <v>400</v>
      </c>
      <c r="E17">
        <v>1</v>
      </c>
      <c r="F17">
        <v>103</v>
      </c>
      <c r="G17">
        <v>110</v>
      </c>
      <c r="H17">
        <f t="shared" si="4"/>
        <v>613</v>
      </c>
      <c r="I17">
        <v>1650</v>
      </c>
      <c r="J17">
        <f t="shared" si="0"/>
        <v>594</v>
      </c>
      <c r="K17">
        <v>45</v>
      </c>
      <c r="L17">
        <f t="shared" si="3"/>
        <v>1011</v>
      </c>
      <c r="M17">
        <f t="shared" si="1"/>
        <v>398</v>
      </c>
      <c r="N17" t="s">
        <v>95</v>
      </c>
    </row>
    <row r="18" ht="36" spans="1:13">
      <c r="A18">
        <v>17</v>
      </c>
      <c r="B18" s="7" t="s">
        <v>96</v>
      </c>
      <c r="C18">
        <v>400</v>
      </c>
      <c r="D18">
        <v>165</v>
      </c>
      <c r="E18">
        <v>1</v>
      </c>
      <c r="F18">
        <v>20</v>
      </c>
      <c r="G18">
        <v>110</v>
      </c>
      <c r="H18">
        <f t="shared" si="4"/>
        <v>295</v>
      </c>
      <c r="I18">
        <v>1100</v>
      </c>
      <c r="J18">
        <f t="shared" si="0"/>
        <v>396</v>
      </c>
      <c r="K18">
        <v>45</v>
      </c>
      <c r="L18">
        <f t="shared" si="3"/>
        <v>659</v>
      </c>
      <c r="M18">
        <f t="shared" si="1"/>
        <v>364</v>
      </c>
    </row>
    <row r="19" spans="1:13">
      <c r="A19">
        <v>18</v>
      </c>
      <c r="B19" t="s">
        <v>97</v>
      </c>
      <c r="C19">
        <v>1000</v>
      </c>
      <c r="D19">
        <v>308</v>
      </c>
      <c r="E19">
        <v>1</v>
      </c>
      <c r="F19">
        <v>62</v>
      </c>
      <c r="G19">
        <v>110</v>
      </c>
      <c r="H19">
        <f t="shared" si="4"/>
        <v>480</v>
      </c>
      <c r="I19">
        <v>1350</v>
      </c>
      <c r="J19">
        <f t="shared" si="0"/>
        <v>486</v>
      </c>
      <c r="K19">
        <v>45</v>
      </c>
      <c r="L19">
        <f t="shared" si="3"/>
        <v>819</v>
      </c>
      <c r="M19">
        <f t="shared" si="1"/>
        <v>339</v>
      </c>
    </row>
    <row r="20" spans="1:14">
      <c r="A20">
        <v>19</v>
      </c>
      <c r="B20" t="s">
        <v>98</v>
      </c>
      <c r="C20">
        <v>1500</v>
      </c>
      <c r="D20">
        <v>243</v>
      </c>
      <c r="E20">
        <v>1</v>
      </c>
      <c r="F20">
        <v>78</v>
      </c>
      <c r="G20">
        <v>160</v>
      </c>
      <c r="H20">
        <f t="shared" si="4"/>
        <v>481</v>
      </c>
      <c r="I20">
        <v>1700</v>
      </c>
      <c r="J20">
        <f t="shared" si="0"/>
        <v>612</v>
      </c>
      <c r="K20">
        <v>45</v>
      </c>
      <c r="L20">
        <f t="shared" si="3"/>
        <v>1043</v>
      </c>
      <c r="M20">
        <f t="shared" si="1"/>
        <v>562</v>
      </c>
      <c r="N20" t="s">
        <v>99</v>
      </c>
    </row>
    <row r="21" spans="2:14">
      <c r="B21" t="s">
        <v>100</v>
      </c>
      <c r="C21">
        <v>1500</v>
      </c>
      <c r="D21">
        <v>242</v>
      </c>
      <c r="E21">
        <v>1</v>
      </c>
      <c r="F21">
        <v>63</v>
      </c>
      <c r="G21">
        <v>160</v>
      </c>
      <c r="H21">
        <f t="shared" si="4"/>
        <v>465</v>
      </c>
      <c r="I21">
        <v>1150</v>
      </c>
      <c r="J21">
        <f t="shared" si="0"/>
        <v>414</v>
      </c>
      <c r="K21">
        <v>45</v>
      </c>
      <c r="L21">
        <f t="shared" si="3"/>
        <v>691</v>
      </c>
      <c r="M21">
        <f t="shared" si="1"/>
        <v>226</v>
      </c>
      <c r="N21" t="s">
        <v>101</v>
      </c>
    </row>
    <row r="22" spans="1:14">
      <c r="A22">
        <v>21</v>
      </c>
      <c r="B22" t="s">
        <v>102</v>
      </c>
      <c r="C22">
        <v>500</v>
      </c>
      <c r="D22">
        <v>76</v>
      </c>
      <c r="E22">
        <v>1</v>
      </c>
      <c r="F22">
        <v>41</v>
      </c>
      <c r="G22">
        <v>75</v>
      </c>
      <c r="H22">
        <f t="shared" si="4"/>
        <v>192</v>
      </c>
      <c r="I22">
        <v>830</v>
      </c>
      <c r="J22">
        <f t="shared" si="0"/>
        <v>298.8</v>
      </c>
      <c r="K22">
        <v>45</v>
      </c>
      <c r="L22">
        <f t="shared" si="3"/>
        <v>486.2</v>
      </c>
      <c r="M22">
        <f t="shared" si="1"/>
        <v>294.2</v>
      </c>
      <c r="N22" t="s">
        <v>103</v>
      </c>
    </row>
    <row r="23" spans="1:14">
      <c r="A23">
        <v>22</v>
      </c>
      <c r="B23" t="s">
        <v>104</v>
      </c>
      <c r="C23">
        <v>500</v>
      </c>
      <c r="D23">
        <v>275</v>
      </c>
      <c r="E23">
        <v>1</v>
      </c>
      <c r="F23">
        <v>36</v>
      </c>
      <c r="G23">
        <v>75</v>
      </c>
      <c r="H23">
        <f t="shared" si="4"/>
        <v>386</v>
      </c>
      <c r="I23">
        <v>930</v>
      </c>
      <c r="J23">
        <f t="shared" si="0"/>
        <v>334.8</v>
      </c>
      <c r="K23">
        <v>45</v>
      </c>
      <c r="L23">
        <f t="shared" si="3"/>
        <v>550.2</v>
      </c>
      <c r="M23">
        <f t="shared" si="1"/>
        <v>164.2</v>
      </c>
      <c r="N23" t="s">
        <v>105</v>
      </c>
    </row>
    <row r="24" spans="1:14">
      <c r="A24">
        <v>23</v>
      </c>
      <c r="B24" t="s">
        <v>53</v>
      </c>
      <c r="C24">
        <v>1600</v>
      </c>
      <c r="D24">
        <v>571</v>
      </c>
      <c r="E24">
        <v>1</v>
      </c>
      <c r="F24">
        <v>63</v>
      </c>
      <c r="G24">
        <v>220</v>
      </c>
      <c r="H24">
        <f t="shared" si="4"/>
        <v>854</v>
      </c>
      <c r="I24">
        <v>2640</v>
      </c>
      <c r="J24">
        <f t="shared" si="0"/>
        <v>950.4</v>
      </c>
      <c r="K24">
        <v>45</v>
      </c>
      <c r="L24">
        <f t="shared" si="3"/>
        <v>1644.6</v>
      </c>
      <c r="M24">
        <f t="shared" si="1"/>
        <v>790.6</v>
      </c>
      <c r="N24" t="s">
        <v>106</v>
      </c>
    </row>
    <row r="25" spans="1:14">
      <c r="A25">
        <v>23</v>
      </c>
      <c r="B25" t="s">
        <v>53</v>
      </c>
      <c r="C25">
        <v>1600</v>
      </c>
      <c r="D25">
        <v>571</v>
      </c>
      <c r="E25">
        <v>1</v>
      </c>
      <c r="F25">
        <v>63</v>
      </c>
      <c r="G25">
        <v>220</v>
      </c>
      <c r="H25">
        <f t="shared" si="4"/>
        <v>854</v>
      </c>
      <c r="I25">
        <v>2100</v>
      </c>
      <c r="J25">
        <f t="shared" si="0"/>
        <v>756</v>
      </c>
      <c r="K25">
        <v>45</v>
      </c>
      <c r="L25">
        <f t="shared" si="3"/>
        <v>1299</v>
      </c>
      <c r="M25">
        <f t="shared" si="1"/>
        <v>445</v>
      </c>
      <c r="N25" t="s">
        <v>106</v>
      </c>
    </row>
    <row r="26" spans="1:14">
      <c r="A26">
        <v>25</v>
      </c>
      <c r="B26" t="s">
        <v>107</v>
      </c>
      <c r="C26">
        <v>1000</v>
      </c>
      <c r="D26">
        <v>208</v>
      </c>
      <c r="E26">
        <v>1</v>
      </c>
      <c r="F26">
        <v>64</v>
      </c>
      <c r="G26">
        <v>110</v>
      </c>
      <c r="H26">
        <f t="shared" si="4"/>
        <v>382</v>
      </c>
      <c r="I26">
        <v>1300</v>
      </c>
      <c r="J26">
        <f t="shared" si="0"/>
        <v>468</v>
      </c>
      <c r="K26">
        <v>45</v>
      </c>
      <c r="L26">
        <f t="shared" si="3"/>
        <v>787</v>
      </c>
      <c r="M26">
        <f t="shared" si="1"/>
        <v>405</v>
      </c>
      <c r="N26" t="s">
        <v>108</v>
      </c>
    </row>
    <row r="27" spans="1:14">
      <c r="A27">
        <v>26</v>
      </c>
      <c r="B27" t="s">
        <v>109</v>
      </c>
      <c r="C27">
        <v>720</v>
      </c>
      <c r="D27">
        <v>296</v>
      </c>
      <c r="E27">
        <v>1</v>
      </c>
      <c r="F27">
        <v>74</v>
      </c>
      <c r="G27">
        <v>110</v>
      </c>
      <c r="H27">
        <f t="shared" si="4"/>
        <v>480</v>
      </c>
      <c r="I27">
        <v>1700</v>
      </c>
      <c r="J27">
        <f t="shared" si="0"/>
        <v>612</v>
      </c>
      <c r="K27">
        <v>45</v>
      </c>
      <c r="L27">
        <f t="shared" si="3"/>
        <v>1043</v>
      </c>
      <c r="M27">
        <f t="shared" si="1"/>
        <v>563</v>
      </c>
      <c r="N27" t="s">
        <v>110</v>
      </c>
    </row>
    <row r="28" ht="18" spans="1:14">
      <c r="A28">
        <v>27</v>
      </c>
      <c r="B28" s="8" t="s">
        <v>111</v>
      </c>
      <c r="C28">
        <v>1000</v>
      </c>
      <c r="D28">
        <v>274</v>
      </c>
      <c r="E28">
        <v>1</v>
      </c>
      <c r="F28">
        <v>87</v>
      </c>
      <c r="G28">
        <v>110</v>
      </c>
      <c r="H28">
        <f t="shared" si="4"/>
        <v>471</v>
      </c>
      <c r="I28">
        <v>1230</v>
      </c>
      <c r="J28">
        <f t="shared" si="0"/>
        <v>442.8</v>
      </c>
      <c r="K28">
        <v>45</v>
      </c>
      <c r="L28">
        <f t="shared" si="3"/>
        <v>742.2</v>
      </c>
      <c r="M28">
        <f t="shared" si="1"/>
        <v>271.2</v>
      </c>
      <c r="N28" t="s">
        <v>112</v>
      </c>
    </row>
    <row r="29" spans="1:14">
      <c r="A29">
        <v>28</v>
      </c>
      <c r="B29" t="s">
        <v>113</v>
      </c>
      <c r="D29">
        <v>612.42</v>
      </c>
      <c r="E29">
        <v>1</v>
      </c>
      <c r="F29">
        <v>48</v>
      </c>
      <c r="G29">
        <v>110</v>
      </c>
      <c r="H29">
        <f t="shared" ref="H29:H39" si="5">D29+F29+G29</f>
        <v>770.42</v>
      </c>
      <c r="I29">
        <v>2811</v>
      </c>
      <c r="J29">
        <f t="shared" ref="J29:J44" si="6">I29*0.36</f>
        <v>1011.96</v>
      </c>
      <c r="K29">
        <v>45</v>
      </c>
      <c r="L29">
        <f t="shared" ref="L29:L49" si="7">I29-J29-K29</f>
        <v>1754.04</v>
      </c>
      <c r="M29">
        <f t="shared" ref="M29:M51" si="8">L29-H29</f>
        <v>983.62</v>
      </c>
      <c r="N29" s="11" t="s">
        <v>114</v>
      </c>
    </row>
    <row r="30" spans="1:14">
      <c r="A30">
        <v>29</v>
      </c>
      <c r="B30" t="s">
        <v>115</v>
      </c>
      <c r="C30">
        <v>350</v>
      </c>
      <c r="D30">
        <v>742.93</v>
      </c>
      <c r="E30">
        <v>1</v>
      </c>
      <c r="F30">
        <v>74</v>
      </c>
      <c r="G30">
        <v>55</v>
      </c>
      <c r="H30">
        <f t="shared" si="5"/>
        <v>871.93</v>
      </c>
      <c r="I30">
        <v>1875</v>
      </c>
      <c r="J30">
        <f t="shared" si="6"/>
        <v>675</v>
      </c>
      <c r="K30">
        <v>45</v>
      </c>
      <c r="L30">
        <f t="shared" si="7"/>
        <v>1155</v>
      </c>
      <c r="M30">
        <f t="shared" si="8"/>
        <v>283.07</v>
      </c>
      <c r="N30" t="s">
        <v>116</v>
      </c>
    </row>
    <row r="31" spans="1:14">
      <c r="A31">
        <v>30</v>
      </c>
      <c r="B31" t="s">
        <v>62</v>
      </c>
      <c r="C31">
        <v>250</v>
      </c>
      <c r="D31">
        <v>644.6</v>
      </c>
      <c r="E31">
        <v>1</v>
      </c>
      <c r="F31">
        <v>100</v>
      </c>
      <c r="G31">
        <v>55</v>
      </c>
      <c r="H31">
        <f t="shared" si="5"/>
        <v>799.6</v>
      </c>
      <c r="I31">
        <v>2890</v>
      </c>
      <c r="J31">
        <f t="shared" si="6"/>
        <v>1040.4</v>
      </c>
      <c r="K31">
        <v>45</v>
      </c>
      <c r="L31">
        <f t="shared" si="7"/>
        <v>1804.6</v>
      </c>
      <c r="M31">
        <f t="shared" si="8"/>
        <v>1005</v>
      </c>
      <c r="N31" s="11" t="s">
        <v>117</v>
      </c>
    </row>
    <row r="32" spans="1:14">
      <c r="A32">
        <v>31</v>
      </c>
      <c r="B32" t="s">
        <v>64</v>
      </c>
      <c r="C32">
        <v>300</v>
      </c>
      <c r="D32">
        <v>863.39</v>
      </c>
      <c r="E32">
        <v>1</v>
      </c>
      <c r="F32">
        <v>172</v>
      </c>
      <c r="G32">
        <v>55</v>
      </c>
      <c r="H32">
        <f t="shared" si="5"/>
        <v>1090.39</v>
      </c>
      <c r="I32">
        <v>2450</v>
      </c>
      <c r="J32">
        <f t="shared" si="6"/>
        <v>882</v>
      </c>
      <c r="K32">
        <v>45</v>
      </c>
      <c r="L32">
        <f t="shared" si="7"/>
        <v>1523</v>
      </c>
      <c r="M32">
        <f t="shared" si="8"/>
        <v>432.61</v>
      </c>
      <c r="N32" s="11" t="s">
        <v>118</v>
      </c>
    </row>
    <row r="33" spans="1:14">
      <c r="A33">
        <v>32</v>
      </c>
      <c r="B33" t="s">
        <v>119</v>
      </c>
      <c r="C33">
        <v>510</v>
      </c>
      <c r="D33">
        <v>618.69</v>
      </c>
      <c r="E33">
        <v>1</v>
      </c>
      <c r="F33">
        <v>137</v>
      </c>
      <c r="G33">
        <v>55</v>
      </c>
      <c r="H33">
        <f t="shared" si="5"/>
        <v>810.69</v>
      </c>
      <c r="I33">
        <v>1800</v>
      </c>
      <c r="J33">
        <f t="shared" si="6"/>
        <v>648</v>
      </c>
      <c r="K33">
        <v>45</v>
      </c>
      <c r="L33">
        <f t="shared" si="7"/>
        <v>1107</v>
      </c>
      <c r="M33">
        <f t="shared" si="8"/>
        <v>296.31</v>
      </c>
      <c r="N33" t="s">
        <v>120</v>
      </c>
    </row>
    <row r="34" spans="1:13">
      <c r="A34">
        <v>33</v>
      </c>
      <c r="H34">
        <f t="shared" si="5"/>
        <v>0</v>
      </c>
      <c r="J34">
        <f t="shared" si="6"/>
        <v>0</v>
      </c>
      <c r="L34">
        <f t="shared" si="7"/>
        <v>0</v>
      </c>
      <c r="M34">
        <f t="shared" si="8"/>
        <v>0</v>
      </c>
    </row>
    <row r="35" spans="1:13">
      <c r="A35">
        <v>34</v>
      </c>
      <c r="B35" t="s">
        <v>121</v>
      </c>
      <c r="C35">
        <v>100</v>
      </c>
      <c r="D35">
        <v>90</v>
      </c>
      <c r="E35">
        <v>1</v>
      </c>
      <c r="F35">
        <v>10</v>
      </c>
      <c r="G35">
        <v>55</v>
      </c>
      <c r="H35">
        <f t="shared" si="5"/>
        <v>155</v>
      </c>
      <c r="I35">
        <v>500</v>
      </c>
      <c r="J35">
        <v>0</v>
      </c>
      <c r="L35">
        <f t="shared" si="7"/>
        <v>500</v>
      </c>
      <c r="M35">
        <f t="shared" si="8"/>
        <v>345</v>
      </c>
    </row>
    <row r="36" spans="1:13">
      <c r="A36">
        <v>35</v>
      </c>
      <c r="H36">
        <f t="shared" si="5"/>
        <v>0</v>
      </c>
      <c r="J36">
        <f t="shared" si="6"/>
        <v>0</v>
      </c>
      <c r="L36">
        <f t="shared" si="7"/>
        <v>0</v>
      </c>
      <c r="M36">
        <f t="shared" si="8"/>
        <v>0</v>
      </c>
    </row>
    <row r="37" spans="1:13">
      <c r="A37">
        <v>36</v>
      </c>
      <c r="H37">
        <f t="shared" si="5"/>
        <v>0</v>
      </c>
      <c r="J37">
        <f t="shared" si="6"/>
        <v>0</v>
      </c>
      <c r="L37">
        <f t="shared" si="7"/>
        <v>0</v>
      </c>
      <c r="M37">
        <f t="shared" si="8"/>
        <v>0</v>
      </c>
    </row>
    <row r="38" spans="8:13">
      <c r="H38">
        <f t="shared" si="5"/>
        <v>0</v>
      </c>
      <c r="J38">
        <f t="shared" si="6"/>
        <v>0</v>
      </c>
      <c r="L38">
        <f t="shared" si="7"/>
        <v>0</v>
      </c>
      <c r="M38">
        <f t="shared" si="8"/>
        <v>0</v>
      </c>
    </row>
    <row r="39" spans="8:13">
      <c r="H39">
        <f t="shared" si="5"/>
        <v>0</v>
      </c>
      <c r="J39">
        <f t="shared" si="6"/>
        <v>0</v>
      </c>
      <c r="L39">
        <f t="shared" si="7"/>
        <v>0</v>
      </c>
      <c r="M39">
        <f t="shared" si="8"/>
        <v>0</v>
      </c>
    </row>
    <row r="40" spans="8:13">
      <c r="H40">
        <f t="shared" ref="H40:H48" si="9">D40+F40+G40</f>
        <v>0</v>
      </c>
      <c r="J40">
        <f t="shared" si="6"/>
        <v>0</v>
      </c>
      <c r="L40">
        <f t="shared" si="7"/>
        <v>0</v>
      </c>
      <c r="M40">
        <f t="shared" si="8"/>
        <v>0</v>
      </c>
    </row>
    <row r="41" spans="8:13">
      <c r="H41">
        <f t="shared" si="9"/>
        <v>0</v>
      </c>
      <c r="J41">
        <f t="shared" si="6"/>
        <v>0</v>
      </c>
      <c r="L41">
        <f t="shared" si="7"/>
        <v>0</v>
      </c>
      <c r="M41">
        <f t="shared" si="8"/>
        <v>0</v>
      </c>
    </row>
    <row r="42" spans="8:13">
      <c r="H42">
        <f t="shared" si="9"/>
        <v>0</v>
      </c>
      <c r="J42">
        <f t="shared" si="6"/>
        <v>0</v>
      </c>
      <c r="L42">
        <f t="shared" si="7"/>
        <v>0</v>
      </c>
      <c r="M42">
        <f t="shared" si="8"/>
        <v>0</v>
      </c>
    </row>
    <row r="43" spans="8:13">
      <c r="H43">
        <f t="shared" si="9"/>
        <v>0</v>
      </c>
      <c r="J43">
        <f t="shared" si="6"/>
        <v>0</v>
      </c>
      <c r="L43">
        <f t="shared" si="7"/>
        <v>0</v>
      </c>
      <c r="M43">
        <f t="shared" si="8"/>
        <v>0</v>
      </c>
    </row>
    <row r="44" spans="8:13">
      <c r="H44">
        <f t="shared" si="9"/>
        <v>0</v>
      </c>
      <c r="J44">
        <f t="shared" si="6"/>
        <v>0</v>
      </c>
      <c r="L44">
        <f t="shared" si="7"/>
        <v>0</v>
      </c>
      <c r="M44">
        <f t="shared" si="8"/>
        <v>0</v>
      </c>
    </row>
    <row r="45" spans="8:13">
      <c r="H45">
        <f t="shared" si="9"/>
        <v>0</v>
      </c>
      <c r="J45">
        <f t="shared" ref="J43:J49" si="10">I45*0.36</f>
        <v>0</v>
      </c>
      <c r="L45">
        <f t="shared" si="7"/>
        <v>0</v>
      </c>
      <c r="M45">
        <f t="shared" si="8"/>
        <v>0</v>
      </c>
    </row>
    <row r="46" spans="8:13">
      <c r="H46">
        <f t="shared" si="9"/>
        <v>0</v>
      </c>
      <c r="J46">
        <f t="shared" si="10"/>
        <v>0</v>
      </c>
      <c r="L46">
        <f t="shared" si="7"/>
        <v>0</v>
      </c>
      <c r="M46">
        <f t="shared" si="8"/>
        <v>0</v>
      </c>
    </row>
    <row r="47" spans="8:13">
      <c r="H47">
        <f t="shared" si="9"/>
        <v>0</v>
      </c>
      <c r="J47">
        <f t="shared" si="10"/>
        <v>0</v>
      </c>
      <c r="L47">
        <f t="shared" si="7"/>
        <v>0</v>
      </c>
      <c r="M47">
        <f t="shared" si="8"/>
        <v>0</v>
      </c>
    </row>
    <row r="48" spans="8:13">
      <c r="H48">
        <f t="shared" si="9"/>
        <v>0</v>
      </c>
      <c r="J48">
        <f t="shared" si="10"/>
        <v>0</v>
      </c>
      <c r="L48">
        <f t="shared" si="7"/>
        <v>0</v>
      </c>
      <c r="M48">
        <f t="shared" si="8"/>
        <v>0</v>
      </c>
    </row>
    <row r="49" spans="10:13">
      <c r="J49">
        <f t="shared" si="10"/>
        <v>0</v>
      </c>
      <c r="L49">
        <f t="shared" si="7"/>
        <v>0</v>
      </c>
      <c r="M49">
        <f t="shared" si="8"/>
        <v>0</v>
      </c>
    </row>
    <row r="50" spans="13:13">
      <c r="M50">
        <f t="shared" si="8"/>
        <v>0</v>
      </c>
    </row>
    <row r="51" spans="13:13">
      <c r="M51">
        <f t="shared" si="8"/>
        <v>0</v>
      </c>
    </row>
  </sheetData>
  <hyperlinks>
    <hyperlink ref="N2" r:id="rId1" display="https://detail.1688.com/offer/771903447937.html?spm=a360q.7751291.0.0.57e929a8QydTO6&amp;sk=common"/>
    <hyperlink ref="N3" r:id="rId2" display="https://detail.1688.com/offer/586304704732.html?spm=a360q.7751291.0.0.57e929a8Xjdql5&amp;sk=common"/>
    <hyperlink ref="N5" r:id="rId3" display="https://www.wildberries.ru/catalog/85308126/detail.aspx"/>
    <hyperlink ref="N6" r:id="rId4" display="https://detail.1688.com/offer/725405750215.html?spm=a26352.13672862.offerlist.111.5b741e627JTWxY&amp;cosite=-&amp;tracelog=p4p&amp;_p_isad=1&amp;clickid=4b48d266edc447728df0f06c8afc7781&amp;sessionid=831c767d16857575eddc2cf1c49ebc74"/>
    <hyperlink ref="N4" r:id="rId5" display="https://detail.1688.com/offer/890888614640.html?spm=a360q.7751291.0.0.57e929a8iuQIdU&amp;sk=common"/>
    <hyperlink ref="N12" r:id="rId6" display="https://detail.1688.com/offer/884990585058.html?fromkv=cbuPcPlugin:imageSearchDrawerCard&amp;spm=a2639h.30124514.offerlist.i0&amp;source=action%23offerItem%3Borigin%23www.ozon.ru&amp;amug_biz=oneself&amp;amug_fl_src=awakeId_982"/>
    <hyperlink ref="N32" r:id="rId7" display="https://detail.1688.com/offer/717590974534.html?fromkv=cbuPcPlugin:imageSearchDrawerCard&amp;spm=a2639h.29135425.offerlist.i1&amp;source=action%23offerItem%3Borigin%23www.ozon.ru&amp;amug_biz=oneself&amp;amug_fl_src=awakeId_982"/>
    <hyperlink ref="N31" r:id="rId8" display="https://detail.1688.com/offer/730586425356.html?fromkv=cbuPcPlugin:imageSearchDrawerCard&amp;spm=a2639h.29135425.offerlist.i0&amp;source=action%23offerItem%3Borigin%23www.ozon.ru&amp;amug_biz=oneself&amp;amug_fl_src=awakeId_982"/>
    <hyperlink ref="N29" r:id="rId9" display="https://detail.1688.com/offer/684188689313.html?fromkv=cbuPcPlugin:imageSearchDrawerCard&amp;spm=a2639h.29135425.offerlist.i4&amp;source=action%23offerItem%3Borigin%23www.ozon.ru&amp;amug_biz=oneself&amp;amug_fl_src=awakeId_982" tooltip="https://detail.1688.com/offer/684188689313.html?fromkv=cbuPcPlugin:imageSearchDrawerCard&amp;spm=a2639h.29135425.offerlist.i4&amp;source=action%23offerItem%3Borigin%23www.ozon.ru&amp;amug_biz=oneself&amp;amug_fl_src=awakeId_98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5" sqref="$A5:$XFD5"/>
    </sheetView>
  </sheetViews>
  <sheetFormatPr defaultColWidth="9" defaultRowHeight="16.8" outlineLevelCol="6"/>
  <cols>
    <col min="1" max="8" width="17.828125" style="1" customWidth="1"/>
  </cols>
  <sheetData>
    <row r="1" spans="1:7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>
      <c r="A2" s="1">
        <v>0.3</v>
      </c>
      <c r="B2" s="1">
        <v>0.3</v>
      </c>
      <c r="C2" s="1">
        <v>38</v>
      </c>
      <c r="D2" s="1">
        <v>0</v>
      </c>
      <c r="E2" s="1">
        <v>0</v>
      </c>
      <c r="F2" s="1">
        <v>38</v>
      </c>
      <c r="G2" s="1">
        <v>45.6</v>
      </c>
    </row>
    <row r="3" spans="1:7">
      <c r="A3" s="1">
        <v>0.5</v>
      </c>
      <c r="B3" s="1">
        <v>0.5</v>
      </c>
      <c r="C3" s="1">
        <v>38</v>
      </c>
      <c r="D3" s="1">
        <v>0</v>
      </c>
      <c r="E3" s="1">
        <v>0</v>
      </c>
      <c r="F3" s="1">
        <v>38</v>
      </c>
      <c r="G3" s="1">
        <v>45.6</v>
      </c>
    </row>
    <row r="4" spans="1:7">
      <c r="A4" s="1">
        <v>1</v>
      </c>
      <c r="B4" s="1">
        <v>1</v>
      </c>
      <c r="C4" s="1">
        <v>38</v>
      </c>
      <c r="D4" s="1">
        <v>0</v>
      </c>
      <c r="E4" s="1">
        <v>0</v>
      </c>
      <c r="F4" s="1">
        <v>38</v>
      </c>
      <c r="G4" s="1">
        <v>45.6</v>
      </c>
    </row>
    <row r="5" spans="1:7">
      <c r="A5" s="1">
        <v>2</v>
      </c>
      <c r="B5" s="1">
        <v>2</v>
      </c>
      <c r="C5" s="1">
        <v>38</v>
      </c>
      <c r="D5" s="1">
        <v>1</v>
      </c>
      <c r="E5" s="1">
        <v>9.5</v>
      </c>
      <c r="F5" s="1">
        <v>47.5</v>
      </c>
      <c r="G5" s="1">
        <v>57</v>
      </c>
    </row>
    <row r="6" spans="1:7">
      <c r="A6" s="1">
        <v>3</v>
      </c>
      <c r="B6" s="1">
        <v>3</v>
      </c>
      <c r="C6" s="1">
        <v>38</v>
      </c>
      <c r="D6" s="1">
        <v>2</v>
      </c>
      <c r="E6" s="1">
        <v>19</v>
      </c>
      <c r="F6" s="1">
        <v>57</v>
      </c>
      <c r="G6" s="1">
        <v>68.4</v>
      </c>
    </row>
    <row r="7" spans="1:7">
      <c r="A7" s="1">
        <v>5</v>
      </c>
      <c r="B7" s="1">
        <v>5</v>
      </c>
      <c r="C7" s="1">
        <v>38</v>
      </c>
      <c r="D7" s="1">
        <v>4</v>
      </c>
      <c r="E7" s="1">
        <v>38</v>
      </c>
      <c r="F7" s="1">
        <v>76</v>
      </c>
      <c r="G7" s="1">
        <v>91.2</v>
      </c>
    </row>
    <row r="8" spans="1:7">
      <c r="A8" s="1">
        <v>10</v>
      </c>
      <c r="B8" s="1">
        <v>10</v>
      </c>
      <c r="C8" s="1">
        <v>38</v>
      </c>
      <c r="D8" s="1">
        <v>9</v>
      </c>
      <c r="E8" s="1">
        <v>85.5</v>
      </c>
      <c r="F8" s="1">
        <v>123.5</v>
      </c>
      <c r="G8" s="1">
        <v>148.2</v>
      </c>
    </row>
    <row r="9" spans="1:7">
      <c r="A9" s="1">
        <v>15</v>
      </c>
      <c r="B9" s="1">
        <v>15</v>
      </c>
      <c r="C9" s="1">
        <v>38</v>
      </c>
      <c r="D9" s="1">
        <v>14</v>
      </c>
      <c r="E9" s="1">
        <v>133</v>
      </c>
      <c r="F9" s="1">
        <v>171</v>
      </c>
      <c r="G9" s="1">
        <v>205.2</v>
      </c>
    </row>
    <row r="10" spans="1:7">
      <c r="A10" s="1">
        <v>20</v>
      </c>
      <c r="B10" s="1">
        <v>20</v>
      </c>
      <c r="C10" s="1">
        <v>38</v>
      </c>
      <c r="D10" s="1">
        <v>19</v>
      </c>
      <c r="E10" s="1">
        <v>180.5</v>
      </c>
      <c r="F10" s="1">
        <v>218.5</v>
      </c>
      <c r="G10" s="1">
        <v>262.2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ВБ КОНКУРЕНТЫ</vt:lpstr>
      <vt:lpstr>ВАРИАНТЫ ЗАКУПОК</vt:lpstr>
      <vt:lpstr>ЦЕНЫ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SM-A525F</dc:creator>
  <cp:lastModifiedBy>vladimirdolbilov</cp:lastModifiedBy>
  <dcterms:created xsi:type="dcterms:W3CDTF">2025-06-24T12:58:00Z</dcterms:created>
  <dcterms:modified xsi:type="dcterms:W3CDTF">2025-08-18T22:46:37Z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008b81f6c6ab42efb4681681ef695b49</vt:lpwstr>
  </property>
  <property fmtid="{D5CDD505-2E9C-101B-9397-08002B2CF9AE}" pid="3" name="KSOProductBuildVer">
    <vt:lpwstr>1033-6.15.0.8733</vt:lpwstr>
  </property>
</Properties>
</file>